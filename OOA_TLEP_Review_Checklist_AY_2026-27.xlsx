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510" activeTab="2"/>
  </bookViews>
  <sheets>
    <sheet name="Instructions" sheetId="1" r:id="rId1"/>
    <sheet name="TLEP Review Checklist" sheetId="2" r:id="rId2"/>
    <sheet name="Dashboard" sheetId="3" r:id="rId3"/>
    <sheet name="CO-PO Review" sheetId="4" r:id="rId4"/>
    <sheet name="Hours Validation" sheetId="5" r:id="rId5"/>
  </sheets>
  <definedNames>
    <definedName name="_xlnm._FilterDatabase" localSheetId="1" hidden="1">'TLEP Review Checklist'!$A$4:$K$53</definedName>
  </definedNames>
  <calcPr calcId="162913"/>
  <fileRecoveryPr repairLoad="1"/>
</workbook>
</file>

<file path=xl/calcChain.xml><?xml version="1.0" encoding="utf-8"?>
<calcChain xmlns="http://schemas.openxmlformats.org/spreadsheetml/2006/main">
  <c r="D15" i="5" l="1"/>
  <c r="D14" i="5"/>
  <c r="D13" i="5"/>
  <c r="D12" i="5"/>
  <c r="D11" i="5"/>
  <c r="D10" i="5"/>
  <c r="D9" i="5"/>
  <c r="D8" i="5"/>
  <c r="D7" i="5"/>
  <c r="D6" i="5"/>
  <c r="D5" i="5"/>
  <c r="D4" i="5"/>
  <c r="B9" i="3"/>
  <c r="B12" i="3" s="1"/>
  <c r="B8" i="3"/>
  <c r="B7" i="3"/>
  <c r="B6" i="3"/>
  <c r="B5" i="3"/>
  <c r="B4" i="3"/>
  <c r="B3" i="3"/>
  <c r="B10" i="3" s="1"/>
  <c r="B13" i="3" s="1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B11" i="3" s="1"/>
</calcChain>
</file>

<file path=xl/sharedStrings.xml><?xml version="1.0" encoding="utf-8"?>
<sst xmlns="http://schemas.openxmlformats.org/spreadsheetml/2006/main" count="361" uniqueCount="211">
  <si>
    <t>OOA TLEP Review Checklist – Instructions</t>
  </si>
  <si>
    <t>Purpose</t>
  </si>
  <si>
    <t>Standardize OOA academic review of department-submitted TLEPs for AY 2026–27.</t>
  </si>
  <si>
    <t>Basis</t>
  </si>
  <si>
    <t>The review checklist is derived from the OOA TLEP template sections: Course Information, POs/PSOs, Course Objectives, COs/BTL, CO–PO mapping, Detailed Syllabus, Session Plan, Sessions Summary, Assessments and Assessment Rubrics.</t>
  </si>
  <si>
    <t>Compliant</t>
  </si>
  <si>
    <t>Requirement is complete, correct and academically aligned.</t>
  </si>
  <si>
    <t>Needs Revision</t>
  </si>
  <si>
    <t>Minor correction, clarification or formatting/content improvement is required.</t>
  </si>
  <si>
    <t>Major Revision</t>
  </si>
  <si>
    <t>Significant academic/structural correction is required before acceptance.</t>
  </si>
  <si>
    <t>Non-Compliant</t>
  </si>
  <si>
    <t>Requirement is absent or does not meet the prescribed requirement.</t>
  </si>
  <si>
    <t>NA</t>
  </si>
  <si>
    <t>Not applicable to the course. NA items are excluded from the score.</t>
  </si>
  <si>
    <t>Scoring</t>
  </si>
  <si>
    <t>Compliant = 2; Needs Revision = 1; Major Revision = 0; Non-Compliant = 0; NA and Not Reviewed are excluded from the denominator.</t>
  </si>
  <si>
    <t>OOA principle</t>
  </si>
  <si>
    <t>Review for both completeness and internal academic consistency. Do not treat completion of a field as evidence of academic alignment.</t>
  </si>
  <si>
    <t>Key cross-checks</t>
  </si>
  <si>
    <t>Course/Curriculum → Credits/L-T-P-E → Syllabus/Module Hours → Session Plan → Learning Hours → CO/BTL → CO–PO/PSO → Assessment/Weightage → Assessment–CO alignment.</t>
  </si>
  <si>
    <t>Reviewer's final decision</t>
  </si>
  <si>
    <t>After completing the checklist, the reviewer should record key observations in the Remarks and Department Action Required columns and communicate the consolidated corrections to the department.</t>
  </si>
  <si>
    <t>OOA – TLEP Academic Review Checklist | AY 2026–27</t>
  </si>
  <si>
    <t>Basis: OOA Teaching-Learning and Evaluation Plan (TLEP) template shared with departments. Use this sheet for academic, alignment, completeness and internal-consistency review.</t>
  </si>
  <si>
    <t>Department:</t>
  </si>
  <si>
    <t>Programme:</t>
  </si>
  <si>
    <t>Course:</t>
  </si>
  <si>
    <t>Reviewer:</t>
  </si>
  <si>
    <t>Review Date:</t>
  </si>
  <si>
    <t>Sl. No.</t>
  </si>
  <si>
    <t>Review Area</t>
  </si>
  <si>
    <t>Parameter</t>
  </si>
  <si>
    <t>OOA Review Criteria</t>
  </si>
  <si>
    <t>Priority</t>
  </si>
  <si>
    <t>Status</t>
  </si>
  <si>
    <t>Score</t>
  </si>
  <si>
    <t>OOA Remarks</t>
  </si>
  <si>
    <t>Department Action Required</t>
  </si>
  <si>
    <t>Reviewed By</t>
  </si>
  <si>
    <t>Review Date</t>
  </si>
  <si>
    <t>A. Course Information &amp; Curriculum Alignment</t>
  </si>
  <si>
    <t>Course title</t>
  </si>
  <si>
    <t>Course title matches the approved curriculum/course matrix.</t>
  </si>
  <si>
    <t>High</t>
  </si>
  <si>
    <t>Not Reviewed</t>
  </si>
  <si>
    <t>Course code</t>
  </si>
  <si>
    <t>Course code exactly matches the approved curriculum/course matrix.</t>
  </si>
  <si>
    <t>Semester</t>
  </si>
  <si>
    <t>Semester is correct as per the approved curriculum.</t>
  </si>
  <si>
    <t>Academic Year</t>
  </si>
  <si>
    <t>Academic Year is stated as AY 2026–27.</t>
  </si>
  <si>
    <t>Medium</t>
  </si>
  <si>
    <t>Credits</t>
  </si>
  <si>
    <t>Credits match the approved curriculum.</t>
  </si>
  <si>
    <t>L-T-P-E structure</t>
  </si>
  <si>
    <t>L-T-P-E structure matches the approved curriculum/course structure.</t>
  </si>
  <si>
    <t>CA : ESE</t>
  </si>
  <si>
    <t>CA : ESE pattern matches the approved assessment scheme.</t>
  </si>
  <si>
    <t>Pass / ESE marks</t>
  </si>
  <si>
    <t>Pass marks, aggregate pass marks and ESE marks are correctly stated.</t>
  </si>
  <si>
    <t>B. Course Objectives &amp; Outcomes</t>
  </si>
  <si>
    <t>Course objectives</t>
  </si>
  <si>
    <t>Objectives are clearly stated and relevant to the course.</t>
  </si>
  <si>
    <t>CO statements</t>
  </si>
  <si>
    <t>All Course Outcomes are clearly stated and measurable.</t>
  </si>
  <si>
    <t>CO–BTL alignment</t>
  </si>
  <si>
    <t>Bloom’s Taxonomy level is stated and is appropriate to the CO action verb.</t>
  </si>
  <si>
    <t>CO–syllabus alignment</t>
  </si>
  <si>
    <t>Each CO is supported by the detailed syllabus/content.</t>
  </si>
  <si>
    <t>CO–session alignment</t>
  </si>
  <si>
    <t>COs are appropriately represented in the session plan.</t>
  </si>
  <si>
    <t>C. CO–PO/PSO Mapping</t>
  </si>
  <si>
    <t>CO–PO mapping completeness</t>
  </si>
  <si>
    <t>CO–PO mapping matrix is completed.</t>
  </si>
  <si>
    <t>Mapping justification</t>
  </si>
  <si>
    <t>Mapping levels (1/2/3) are academically meaningful and not mechanical.</t>
  </si>
  <si>
    <t>PSO mapping</t>
  </si>
  <si>
    <t>Relevant PSOs are mapped appropriately where applicable.</t>
  </si>
  <si>
    <t>D. Detailed Syllabus</t>
  </si>
  <si>
    <t>Approved syllabus match</t>
  </si>
  <si>
    <t>Detailed syllabus matches the approved syllabus/module structure.</t>
  </si>
  <si>
    <t>Module coverage</t>
  </si>
  <si>
    <t>All approved modules/topics are included.</t>
  </si>
  <si>
    <t>Module-wise hours</t>
  </si>
  <si>
    <t>Hours are allocated to modules and are reasonable.</t>
  </si>
  <si>
    <t>Module hours total</t>
  </si>
  <si>
    <t>Total module hours reconcile with the planned course teaching/learning hours.</t>
  </si>
  <si>
    <t>E. Session Plan</t>
  </si>
  <si>
    <t>Session numbering</t>
  </si>
  <si>
    <t>Session numbers are complete, sequential and without unexplained gaps.</t>
  </si>
  <si>
    <t>Topic coverage</t>
  </si>
  <si>
    <t>Session plan covers all syllabus topics/modules.</t>
  </si>
  <si>
    <t>Topic–module alignment</t>
  </si>
  <si>
    <t>Each session topic is assigned to the correct module.</t>
  </si>
  <si>
    <t>Session hours</t>
  </si>
  <si>
    <t>Session hours/duration are consistent with the stated course hours.</t>
  </si>
  <si>
    <t>CO mapping in sessions</t>
  </si>
  <si>
    <t>Each session is linked to the appropriate CO(s).</t>
  </si>
  <si>
    <t>Pedagogy/activity</t>
  </si>
  <si>
    <t>Pedagogy and learning activities are stated and appropriate to the topic/CO/BTL.</t>
  </si>
  <si>
    <t>Mode of delivery</t>
  </si>
  <si>
    <t>L/T/P/E and synchronous/asynchronous mode are correctly indicated.</t>
  </si>
  <si>
    <t>Readings/references</t>
  </si>
  <si>
    <t>Relevant readings/references are provided where appropriate.</t>
  </si>
  <si>
    <t>F. Learning Hours &amp; Credit Validation</t>
  </si>
  <si>
    <t>L-T-P-E vs session distribution</t>
  </si>
  <si>
    <t>Session distribution is consistent with the prescribed L-T-P-E structure.</t>
  </si>
  <si>
    <t>Synchronous hours</t>
  </si>
  <si>
    <t>Total synchronous hours are correctly calculated.</t>
  </si>
  <si>
    <t>Asynchronous hours</t>
  </si>
  <si>
    <t>Total asynchronous hours are correctly calculated.</t>
  </si>
  <si>
    <t>Notional hours</t>
  </si>
  <si>
    <t>Total notional hours reconcile with the course design/credit expectations.</t>
  </si>
  <si>
    <t>G. Learning Resources</t>
  </si>
  <si>
    <t>Basic textbooks</t>
  </si>
  <si>
    <t>Basic texts are listed and relevant to the course.</t>
  </si>
  <si>
    <t>Reference books</t>
  </si>
  <si>
    <t>Reference books are relevant and adequate.</t>
  </si>
  <si>
    <t>Other reading material</t>
  </si>
  <si>
    <t>Additional reading/learning resources are provided where appropriate.</t>
  </si>
  <si>
    <t>Low</t>
  </si>
  <si>
    <t>H. Assessment</t>
  </si>
  <si>
    <t>Assessment components</t>
  </si>
  <si>
    <t>All assessment components are listed.</t>
  </si>
  <si>
    <t>Assessment weightage</t>
  </si>
  <si>
    <t>Assessment weightages are correct and total appropriately.</t>
  </si>
  <si>
    <t>CA : ESE consistency</t>
  </si>
  <si>
    <t>Assessment scheme is consistent with Course Information and approved regulations.</t>
  </si>
  <si>
    <t>Formative/summative</t>
  </si>
  <si>
    <t>Assessment is correctly classified as formative/summative/UE as applicable.</t>
  </si>
  <si>
    <t>Frequency</t>
  </si>
  <si>
    <t>Assessment frequency is clearly indicated.</t>
  </si>
  <si>
    <t>Assessment–CO mapping</t>
  </si>
  <si>
    <t>Each assessment is mapped to relevant CO(s).</t>
  </si>
  <si>
    <t>CO coverage</t>
  </si>
  <si>
    <t>All important COs are adequately assessed.</t>
  </si>
  <si>
    <t>Assessment–BTL alignment</t>
  </si>
  <si>
    <t>Assessment method/questions are appropriate to the intended BTL.</t>
  </si>
  <si>
    <t>Assessment description</t>
  </si>
  <si>
    <t>Assessment description, type and requirements are clearly stated.</t>
  </si>
  <si>
    <t>Rubrics</t>
  </si>
  <si>
    <t>Rubrics/criteria are provided where applicable and are measurable.</t>
  </si>
  <si>
    <t>I. Overall Internal Consistency</t>
  </si>
  <si>
    <t>Course data consistency</t>
  </si>
  <si>
    <t>Course Information, curriculum, syllabus and TLEP are internally consistent.</t>
  </si>
  <si>
    <t>Syllabus–session consistency</t>
  </si>
  <si>
    <t>Detailed syllabus, module hours and session plan reconcile.</t>
  </si>
  <si>
    <t>CO–teaching–assessment consistency</t>
  </si>
  <si>
    <t>COs are taught, mapped in sessions and assessed.</t>
  </si>
  <si>
    <t>Overall completeness</t>
  </si>
  <si>
    <t>No major section/field required by the TLEP template is missing.</t>
  </si>
  <si>
    <t>OOA TLEP Review Dashboard</t>
  </si>
  <si>
    <t>Total Review Parameters</t>
  </si>
  <si>
    <t>Meaning</t>
  </si>
  <si>
    <t>Complete and academically aligned</t>
  </si>
  <si>
    <t>Minor correction / clarification required</t>
  </si>
  <si>
    <t>Significant academic or structural correction required</t>
  </si>
  <si>
    <t>Does not meet prescribed requirement</t>
  </si>
  <si>
    <t>Not applicable; excluded from score</t>
  </si>
  <si>
    <t>Applicable Parameters</t>
  </si>
  <si>
    <t>Score Obtained</t>
  </si>
  <si>
    <t>Maximum Score</t>
  </si>
  <si>
    <t>Compliance %</t>
  </si>
  <si>
    <t>Recommended OOA Review Flow</t>
  </si>
  <si>
    <t>1. Verify Course Information against approved curriculum/course matrix.</t>
  </si>
  <si>
    <t>2. Review COs, BTL and CO–PO/PSO mapping.</t>
  </si>
  <si>
    <t>3. Verify detailed syllabus and module-wise hours.</t>
  </si>
  <si>
    <t>4. Validate session plan against syllabus, COs, pedagogy and learning hours.</t>
  </si>
  <si>
    <t>5. Validate synchronous/asynchronous/notional hours.</t>
  </si>
  <si>
    <t>6. Review textbooks, references and session-wise readings.</t>
  </si>
  <si>
    <t>7. Review assessment scheme, weightage, CO mapping and rubrics.</t>
  </si>
  <si>
    <t>8. Record remarks and department action required for every non-compliant item.</t>
  </si>
  <si>
    <t>CO–PO / PSO Mapping Review</t>
  </si>
  <si>
    <t>CO</t>
  </si>
  <si>
    <t>CO Statement</t>
  </si>
  <si>
    <t>BTL</t>
  </si>
  <si>
    <t>PO/PSO</t>
  </si>
  <si>
    <t>Mapping (3/2/1/-)</t>
  </si>
  <si>
    <t>Justification / Evidence</t>
  </si>
  <si>
    <t>OOA Status</t>
  </si>
  <si>
    <t>Remarks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</si>
  <si>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</si>
  <si>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</si>
  <si>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</si>
  <si>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</si>
  <si>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</si>
  <si>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</si>
  <si>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</si>
  <si>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</si>
  <si>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</si>
  <si>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</si>
  <si>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</si>
  <si>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</si>
  <si>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TLEP Learning Hours &amp; Credit Validation</t>
  </si>
  <si>
    <t>As per Approved Curriculum</t>
  </si>
  <si>
    <t>As per TLEP</t>
  </si>
  <si>
    <t>Variance</t>
  </si>
  <si>
    <t>Evidence / Page</t>
  </si>
  <si>
    <t>Action Required</t>
  </si>
  <si>
    <t>L-T-P-E</t>
  </si>
  <si>
    <t>Lecture hours</t>
  </si>
  <si>
    <t>Tutorial hours</t>
  </si>
  <si>
    <t>Practical hours</t>
  </si>
  <si>
    <t>Experiential Synchronous hours</t>
  </si>
  <si>
    <t>Experiential Asynchronous hours</t>
  </si>
  <si>
    <t>Total Synchronous hours</t>
  </si>
  <si>
    <t>Total Asynchronous hours</t>
  </si>
  <si>
    <t>Total Notional hours</t>
  </si>
  <si>
    <t>Total Module hours</t>
  </si>
  <si>
    <t>Total Session Plan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</si>
</sst>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b/>
      <sz val="15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3" borderId="1" xfId="0" applyFont="1" applyFill="1" applyBorder="1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workbookViewId="0">
      <selection activeCell="B5" sqref="B5:F5"/>
    </sheetView>
  </sheetViews>
  <sheetFormatPr defaultRowHeight="15" x14ac:dyDescent="0.25"/>
  <cols>
    <col min="1" max="2" width="28" customWidth="1"/>
    <col min="3" max="6" width="18" customWidth="1"/>
  </cols>
  <sheetData>
    <row r="1" spans="1:6" ht="21" x14ac:dyDescent="0.35">
      <c r="A1" s="16" t="s">
        <v>0</v>
      </c>
      <c r="B1" s="15"/>
      <c r="C1" s="15"/>
      <c r="D1" s="15"/>
      <c r="E1" s="15"/>
      <c r="F1" s="15"/>
    </row>
    <row r="3" spans="1:6" ht="39.950000000000003" customHeight="1" x14ac:dyDescent="0.25">
      <c r="A3" s="1" t="s">
        <v>1</v>
      </c>
      <c r="B3" s="11" t="s">
        <v>2</v>
      </c>
      <c r="C3" s="12"/>
      <c r="D3" s="12"/>
      <c r="E3" s="12"/>
      <c r="F3" s="13"/>
    </row>
    <row r="4" spans="1:6" ht="50.25" customHeight="1" x14ac:dyDescent="0.25">
      <c r="A4" s="1" t="s">
        <v>3</v>
      </c>
      <c r="B4" s="11" t="s">
        <v>4</v>
      </c>
      <c r="C4" s="12"/>
      <c r="D4" s="12"/>
      <c r="E4" s="12"/>
      <c r="F4" s="13"/>
    </row>
    <row r="5" spans="1:6" ht="39.950000000000003" customHeight="1" x14ac:dyDescent="0.25">
      <c r="A5" s="1" t="s">
        <v>5</v>
      </c>
      <c r="B5" s="11" t="s">
        <v>6</v>
      </c>
      <c r="C5" s="12"/>
      <c r="D5" s="12"/>
      <c r="E5" s="12"/>
      <c r="F5" s="13"/>
    </row>
    <row r="6" spans="1:6" ht="39.950000000000003" customHeight="1" x14ac:dyDescent="0.25">
      <c r="A6" s="1" t="s">
        <v>7</v>
      </c>
      <c r="B6" s="11" t="s">
        <v>8</v>
      </c>
      <c r="C6" s="12"/>
      <c r="D6" s="12"/>
      <c r="E6" s="12"/>
      <c r="F6" s="13"/>
    </row>
    <row r="7" spans="1:6" ht="39.950000000000003" customHeight="1" x14ac:dyDescent="0.25">
      <c r="A7" s="1" t="s">
        <v>9</v>
      </c>
      <c r="B7" s="11" t="s">
        <v>10</v>
      </c>
      <c r="C7" s="12"/>
      <c r="D7" s="12"/>
      <c r="E7" s="12"/>
      <c r="F7" s="13"/>
    </row>
    <row r="8" spans="1:6" ht="39.950000000000003" customHeight="1" x14ac:dyDescent="0.25">
      <c r="A8" s="1" t="s">
        <v>11</v>
      </c>
      <c r="B8" s="11" t="s">
        <v>12</v>
      </c>
      <c r="C8" s="12"/>
      <c r="D8" s="12"/>
      <c r="E8" s="12"/>
      <c r="F8" s="13"/>
    </row>
    <row r="9" spans="1:6" ht="39.950000000000003" customHeight="1" x14ac:dyDescent="0.25">
      <c r="A9" s="1" t="s">
        <v>13</v>
      </c>
      <c r="B9" s="11" t="s">
        <v>14</v>
      </c>
      <c r="C9" s="12"/>
      <c r="D9" s="12"/>
      <c r="E9" s="12"/>
      <c r="F9" s="13"/>
    </row>
    <row r="10" spans="1:6" ht="39.950000000000003" customHeight="1" x14ac:dyDescent="0.25">
      <c r="A10" s="1" t="s">
        <v>15</v>
      </c>
      <c r="B10" s="11" t="s">
        <v>16</v>
      </c>
      <c r="C10" s="12"/>
      <c r="D10" s="12"/>
      <c r="E10" s="12"/>
      <c r="F10" s="13"/>
    </row>
    <row r="11" spans="1:6" ht="39.950000000000003" customHeight="1" x14ac:dyDescent="0.25">
      <c r="A11" s="1" t="s">
        <v>17</v>
      </c>
      <c r="B11" s="11" t="s">
        <v>18</v>
      </c>
      <c r="C11" s="12"/>
      <c r="D11" s="12"/>
      <c r="E11" s="12"/>
      <c r="F11" s="13"/>
    </row>
    <row r="12" spans="1:6" ht="39.950000000000003" customHeight="1" x14ac:dyDescent="0.25">
      <c r="A12" s="1" t="s">
        <v>19</v>
      </c>
      <c r="B12" s="11" t="s">
        <v>20</v>
      </c>
      <c r="C12" s="12"/>
      <c r="D12" s="12"/>
      <c r="E12" s="12"/>
      <c r="F12" s="13"/>
    </row>
    <row r="15" spans="1:6" x14ac:dyDescent="0.25">
      <c r="A15" s="17" t="s">
        <v>21</v>
      </c>
      <c r="B15" s="15"/>
      <c r="C15" s="15"/>
      <c r="D15" s="15"/>
      <c r="E15" s="15"/>
      <c r="F15" s="15"/>
    </row>
    <row r="16" spans="1:6" x14ac:dyDescent="0.25">
      <c r="A16" s="14" t="s">
        <v>22</v>
      </c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</sheetData>
  <mergeCells count="13">
    <mergeCell ref="A1:F1"/>
    <mergeCell ref="B11:F11"/>
    <mergeCell ref="B3:F3"/>
    <mergeCell ref="B5:F5"/>
    <mergeCell ref="A15:F15"/>
    <mergeCell ref="B8:F8"/>
    <mergeCell ref="B9:F9"/>
    <mergeCell ref="B4:F4"/>
    <mergeCell ref="B12:F12"/>
    <mergeCell ref="B7:F7"/>
    <mergeCell ref="A16:F17"/>
    <mergeCell ref="B6:F6"/>
    <mergeCell ref="B10:F10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showGridLines="0" topLeftCell="C1" workbookViewId="0">
      <pane ySplit="4" topLeftCell="A11" activePane="bottomLeft" state="frozen"/>
      <selection pane="bottomLeft" activeCell="I11" sqref="I11"/>
    </sheetView>
  </sheetViews>
  <sheetFormatPr defaultRowHeight="15" x14ac:dyDescent="0.25"/>
  <cols>
    <col min="1" max="1" width="8" customWidth="1"/>
    <col min="2" max="2" width="32" customWidth="1"/>
    <col min="3" max="3" width="28" customWidth="1"/>
    <col min="4" max="4" width="62" customWidth="1"/>
    <col min="5" max="5" width="12" customWidth="1"/>
    <col min="6" max="6" width="18" customWidth="1"/>
    <col min="7" max="7" width="10" customWidth="1"/>
    <col min="8" max="9" width="42" customWidth="1"/>
    <col min="10" max="10" width="18" customWidth="1"/>
    <col min="11" max="11" width="15" customWidth="1"/>
  </cols>
  <sheetData>
    <row r="1" spans="1:11" ht="27.95" customHeight="1" x14ac:dyDescent="0.25">
      <c r="A1" s="19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2.1" customHeight="1" x14ac:dyDescent="0.25">
      <c r="A2" s="18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30" x14ac:dyDescent="0.25">
      <c r="A3" s="3" t="s">
        <v>25</v>
      </c>
      <c r="B3" s="4"/>
      <c r="C3" s="3" t="s">
        <v>26</v>
      </c>
      <c r="D3" s="4"/>
      <c r="E3" s="3" t="s">
        <v>27</v>
      </c>
      <c r="F3" s="4"/>
      <c r="G3" s="3" t="s">
        <v>28</v>
      </c>
      <c r="H3" s="4"/>
      <c r="I3" s="3" t="s">
        <v>29</v>
      </c>
      <c r="J3" s="5"/>
      <c r="K3" s="4"/>
    </row>
    <row r="4" spans="1:11" x14ac:dyDescent="0.25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</row>
    <row r="5" spans="1:11" ht="42" customHeight="1" x14ac:dyDescent="0.25">
      <c r="A5" s="2">
        <v>1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tr">
        <f t="shared" ref="G5:G36" si="0">IF(F5="Compliant",2,IF(F5="Needs Revision",1,IF(F5="Major Revision",0,IF(F5="Non-Compliant",0,""))))</f>
        <v/>
      </c>
      <c r="H5" s="2"/>
      <c r="I5" s="2"/>
      <c r="J5" s="2"/>
      <c r="K5" s="2"/>
    </row>
    <row r="6" spans="1:11" ht="42" customHeight="1" x14ac:dyDescent="0.25">
      <c r="A6" s="2">
        <v>2</v>
      </c>
      <c r="B6" s="2" t="s">
        <v>41</v>
      </c>
      <c r="C6" s="2" t="s">
        <v>46</v>
      </c>
      <c r="D6" s="2" t="s">
        <v>47</v>
      </c>
      <c r="E6" s="2" t="s">
        <v>44</v>
      </c>
      <c r="F6" s="2" t="s">
        <v>45</v>
      </c>
      <c r="G6" s="2" t="str">
        <f t="shared" si="0"/>
        <v/>
      </c>
      <c r="H6" s="2"/>
      <c r="I6" s="2"/>
      <c r="J6" s="2"/>
      <c r="K6" s="2"/>
    </row>
    <row r="7" spans="1:11" ht="42" customHeight="1" x14ac:dyDescent="0.25">
      <c r="A7" s="2">
        <v>3</v>
      </c>
      <c r="B7" s="2" t="s">
        <v>41</v>
      </c>
      <c r="C7" s="2" t="s">
        <v>48</v>
      </c>
      <c r="D7" s="2" t="s">
        <v>49</v>
      </c>
      <c r="E7" s="2" t="s">
        <v>44</v>
      </c>
      <c r="F7" s="2" t="s">
        <v>45</v>
      </c>
      <c r="G7" s="2" t="str">
        <f t="shared" si="0"/>
        <v/>
      </c>
      <c r="H7" s="2"/>
      <c r="I7" s="2"/>
      <c r="J7" s="2"/>
      <c r="K7" s="2"/>
    </row>
    <row r="8" spans="1:11" ht="42" customHeight="1" x14ac:dyDescent="0.25">
      <c r="A8" s="2">
        <v>4</v>
      </c>
      <c r="B8" s="2" t="s">
        <v>41</v>
      </c>
      <c r="C8" s="2" t="s">
        <v>50</v>
      </c>
      <c r="D8" s="2" t="s">
        <v>51</v>
      </c>
      <c r="E8" s="2" t="s">
        <v>52</v>
      </c>
      <c r="F8" s="2" t="s">
        <v>45</v>
      </c>
      <c r="G8" s="2" t="str">
        <f t="shared" si="0"/>
        <v/>
      </c>
      <c r="H8" s="2"/>
      <c r="I8" s="2"/>
      <c r="J8" s="2"/>
      <c r="K8" s="2"/>
    </row>
    <row r="9" spans="1:11" ht="42" customHeight="1" x14ac:dyDescent="0.25">
      <c r="A9" s="2">
        <v>5</v>
      </c>
      <c r="B9" s="2" t="s">
        <v>41</v>
      </c>
      <c r="C9" s="2" t="s">
        <v>53</v>
      </c>
      <c r="D9" s="2" t="s">
        <v>54</v>
      </c>
      <c r="E9" s="2" t="s">
        <v>44</v>
      </c>
      <c r="F9" s="2" t="s">
        <v>45</v>
      </c>
      <c r="G9" s="2" t="str">
        <f t="shared" si="0"/>
        <v/>
      </c>
      <c r="H9" s="2"/>
      <c r="I9" s="2"/>
      <c r="J9" s="2"/>
      <c r="K9" s="2"/>
    </row>
    <row r="10" spans="1:11" ht="42" customHeight="1" x14ac:dyDescent="0.25">
      <c r="A10" s="2">
        <v>6</v>
      </c>
      <c r="B10" s="2" t="s">
        <v>41</v>
      </c>
      <c r="C10" s="2" t="s">
        <v>55</v>
      </c>
      <c r="D10" s="2" t="s">
        <v>56</v>
      </c>
      <c r="E10" s="2" t="s">
        <v>44</v>
      </c>
      <c r="F10" s="2" t="s">
        <v>45</v>
      </c>
      <c r="G10" s="2" t="str">
        <f t="shared" si="0"/>
        <v/>
      </c>
      <c r="H10" s="2"/>
      <c r="I10" s="2"/>
      <c r="J10" s="2"/>
      <c r="K10" s="2"/>
    </row>
    <row r="11" spans="1:11" ht="42" customHeight="1" x14ac:dyDescent="0.25">
      <c r="A11" s="2">
        <v>7</v>
      </c>
      <c r="B11" s="2" t="s">
        <v>41</v>
      </c>
      <c r="C11" s="2" t="s">
        <v>57</v>
      </c>
      <c r="D11" s="2" t="s">
        <v>58</v>
      </c>
      <c r="E11" s="2" t="s">
        <v>44</v>
      </c>
      <c r="F11" s="2" t="s">
        <v>45</v>
      </c>
      <c r="G11" s="2" t="str">
        <f t="shared" si="0"/>
        <v/>
      </c>
      <c r="H11" s="2"/>
      <c r="I11" s="2"/>
      <c r="J11" s="2"/>
      <c r="K11" s="2"/>
    </row>
    <row r="12" spans="1:11" ht="42" customHeight="1" x14ac:dyDescent="0.25">
      <c r="A12" s="2">
        <v>8</v>
      </c>
      <c r="B12" s="2" t="s">
        <v>41</v>
      </c>
      <c r="C12" s="2" t="s">
        <v>59</v>
      </c>
      <c r="D12" s="2" t="s">
        <v>60</v>
      </c>
      <c r="E12" s="2" t="s">
        <v>52</v>
      </c>
      <c r="F12" s="2" t="s">
        <v>45</v>
      </c>
      <c r="G12" s="2" t="str">
        <f t="shared" si="0"/>
        <v/>
      </c>
      <c r="H12" s="2"/>
      <c r="I12" s="2"/>
      <c r="J12" s="2"/>
      <c r="K12" s="2"/>
    </row>
    <row r="13" spans="1:11" ht="42" customHeight="1" x14ac:dyDescent="0.25">
      <c r="A13" s="2">
        <v>9</v>
      </c>
      <c r="B13" s="2" t="s">
        <v>61</v>
      </c>
      <c r="C13" s="2" t="s">
        <v>62</v>
      </c>
      <c r="D13" s="2" t="s">
        <v>63</v>
      </c>
      <c r="E13" s="2" t="s">
        <v>52</v>
      </c>
      <c r="F13" s="2" t="s">
        <v>45</v>
      </c>
      <c r="G13" s="2" t="str">
        <f t="shared" si="0"/>
        <v/>
      </c>
      <c r="H13" s="2"/>
      <c r="I13" s="2"/>
      <c r="J13" s="2"/>
      <c r="K13" s="2"/>
    </row>
    <row r="14" spans="1:11" ht="42" customHeight="1" x14ac:dyDescent="0.25">
      <c r="A14" s="2">
        <v>10</v>
      </c>
      <c r="B14" s="2" t="s">
        <v>61</v>
      </c>
      <c r="C14" s="2" t="s">
        <v>64</v>
      </c>
      <c r="D14" s="2" t="s">
        <v>65</v>
      </c>
      <c r="E14" s="2" t="s">
        <v>44</v>
      </c>
      <c r="F14" s="2" t="s">
        <v>45</v>
      </c>
      <c r="G14" s="2" t="str">
        <f t="shared" si="0"/>
        <v/>
      </c>
      <c r="H14" s="2"/>
      <c r="I14" s="2"/>
      <c r="J14" s="2"/>
      <c r="K14" s="2"/>
    </row>
    <row r="15" spans="1:11" ht="42" customHeight="1" x14ac:dyDescent="0.25">
      <c r="A15" s="2">
        <v>11</v>
      </c>
      <c r="B15" s="2" t="s">
        <v>61</v>
      </c>
      <c r="C15" s="2" t="s">
        <v>66</v>
      </c>
      <c r="D15" s="2" t="s">
        <v>67</v>
      </c>
      <c r="E15" s="2" t="s">
        <v>44</v>
      </c>
      <c r="F15" s="2" t="s">
        <v>45</v>
      </c>
      <c r="G15" s="2" t="str">
        <f t="shared" si="0"/>
        <v/>
      </c>
      <c r="H15" s="2"/>
      <c r="I15" s="2"/>
      <c r="J15" s="2"/>
      <c r="K15" s="2"/>
    </row>
    <row r="16" spans="1:11" ht="42" customHeight="1" x14ac:dyDescent="0.25">
      <c r="A16" s="2">
        <v>12</v>
      </c>
      <c r="B16" s="2" t="s">
        <v>61</v>
      </c>
      <c r="C16" s="2" t="s">
        <v>68</v>
      </c>
      <c r="D16" s="2" t="s">
        <v>69</v>
      </c>
      <c r="E16" s="2" t="s">
        <v>44</v>
      </c>
      <c r="F16" s="2" t="s">
        <v>45</v>
      </c>
      <c r="G16" s="2" t="str">
        <f t="shared" si="0"/>
        <v/>
      </c>
      <c r="H16" s="2"/>
      <c r="I16" s="2"/>
      <c r="J16" s="2"/>
      <c r="K16" s="2"/>
    </row>
    <row r="17" spans="1:11" ht="42" customHeight="1" x14ac:dyDescent="0.25">
      <c r="A17" s="2">
        <v>13</v>
      </c>
      <c r="B17" s="2" t="s">
        <v>61</v>
      </c>
      <c r="C17" s="2" t="s">
        <v>70</v>
      </c>
      <c r="D17" s="2" t="s">
        <v>71</v>
      </c>
      <c r="E17" s="2" t="s">
        <v>44</v>
      </c>
      <c r="F17" s="2" t="s">
        <v>45</v>
      </c>
      <c r="G17" s="2" t="str">
        <f t="shared" si="0"/>
        <v/>
      </c>
      <c r="H17" s="2"/>
      <c r="I17" s="2"/>
      <c r="J17" s="2"/>
      <c r="K17" s="2"/>
    </row>
    <row r="18" spans="1:11" ht="42" customHeight="1" x14ac:dyDescent="0.25">
      <c r="A18" s="2">
        <v>14</v>
      </c>
      <c r="B18" s="2" t="s">
        <v>72</v>
      </c>
      <c r="C18" s="2" t="s">
        <v>73</v>
      </c>
      <c r="D18" s="2" t="s">
        <v>74</v>
      </c>
      <c r="E18" s="2" t="s">
        <v>44</v>
      </c>
      <c r="F18" s="2" t="s">
        <v>45</v>
      </c>
      <c r="G18" s="2" t="str">
        <f t="shared" si="0"/>
        <v/>
      </c>
      <c r="H18" s="2"/>
      <c r="I18" s="2"/>
      <c r="J18" s="2"/>
      <c r="K18" s="2"/>
    </row>
    <row r="19" spans="1:11" ht="42" customHeight="1" x14ac:dyDescent="0.25">
      <c r="A19" s="2">
        <v>15</v>
      </c>
      <c r="B19" s="2" t="s">
        <v>72</v>
      </c>
      <c r="C19" s="2" t="s">
        <v>75</v>
      </c>
      <c r="D19" s="2" t="s">
        <v>76</v>
      </c>
      <c r="E19" s="2" t="s">
        <v>44</v>
      </c>
      <c r="F19" s="2" t="s">
        <v>45</v>
      </c>
      <c r="G19" s="2" t="str">
        <f t="shared" si="0"/>
        <v/>
      </c>
      <c r="H19" s="2"/>
      <c r="I19" s="2"/>
      <c r="J19" s="2"/>
      <c r="K19" s="2"/>
    </row>
    <row r="20" spans="1:11" ht="42" customHeight="1" x14ac:dyDescent="0.25">
      <c r="A20" s="2">
        <v>16</v>
      </c>
      <c r="B20" s="2" t="s">
        <v>72</v>
      </c>
      <c r="C20" s="2" t="s">
        <v>77</v>
      </c>
      <c r="D20" s="2" t="s">
        <v>78</v>
      </c>
      <c r="E20" s="2" t="s">
        <v>52</v>
      </c>
      <c r="F20" s="2" t="s">
        <v>45</v>
      </c>
      <c r="G20" s="2" t="str">
        <f t="shared" si="0"/>
        <v/>
      </c>
      <c r="H20" s="2"/>
      <c r="I20" s="2"/>
      <c r="J20" s="2"/>
      <c r="K20" s="2"/>
    </row>
    <row r="21" spans="1:11" ht="42" customHeight="1" x14ac:dyDescent="0.25">
      <c r="A21" s="2">
        <v>17</v>
      </c>
      <c r="B21" s="2" t="s">
        <v>79</v>
      </c>
      <c r="C21" s="2" t="s">
        <v>80</v>
      </c>
      <c r="D21" s="2" t="s">
        <v>81</v>
      </c>
      <c r="E21" s="2" t="s">
        <v>44</v>
      </c>
      <c r="F21" s="2" t="s">
        <v>45</v>
      </c>
      <c r="G21" s="2" t="str">
        <f t="shared" si="0"/>
        <v/>
      </c>
      <c r="H21" s="2"/>
      <c r="I21" s="2"/>
      <c r="J21" s="2"/>
      <c r="K21" s="2"/>
    </row>
    <row r="22" spans="1:11" ht="42" customHeight="1" x14ac:dyDescent="0.25">
      <c r="A22" s="2">
        <v>18</v>
      </c>
      <c r="B22" s="2" t="s">
        <v>79</v>
      </c>
      <c r="C22" s="2" t="s">
        <v>82</v>
      </c>
      <c r="D22" s="2" t="s">
        <v>83</v>
      </c>
      <c r="E22" s="2" t="s">
        <v>44</v>
      </c>
      <c r="F22" s="2" t="s">
        <v>45</v>
      </c>
      <c r="G22" s="2" t="str">
        <f t="shared" si="0"/>
        <v/>
      </c>
      <c r="H22" s="2"/>
      <c r="I22" s="2"/>
      <c r="J22" s="2"/>
      <c r="K22" s="2"/>
    </row>
    <row r="23" spans="1:11" ht="42" customHeight="1" x14ac:dyDescent="0.25">
      <c r="A23" s="2">
        <v>19</v>
      </c>
      <c r="B23" s="2" t="s">
        <v>79</v>
      </c>
      <c r="C23" s="2" t="s">
        <v>84</v>
      </c>
      <c r="D23" s="2" t="s">
        <v>85</v>
      </c>
      <c r="E23" s="2" t="s">
        <v>44</v>
      </c>
      <c r="F23" s="2" t="s">
        <v>45</v>
      </c>
      <c r="G23" s="2" t="str">
        <f t="shared" si="0"/>
        <v/>
      </c>
      <c r="H23" s="2"/>
      <c r="I23" s="2"/>
      <c r="J23" s="2"/>
      <c r="K23" s="2"/>
    </row>
    <row r="24" spans="1:11" ht="42" customHeight="1" x14ac:dyDescent="0.25">
      <c r="A24" s="2">
        <v>20</v>
      </c>
      <c r="B24" s="2" t="s">
        <v>79</v>
      </c>
      <c r="C24" s="2" t="s">
        <v>86</v>
      </c>
      <c r="D24" s="2" t="s">
        <v>87</v>
      </c>
      <c r="E24" s="2" t="s">
        <v>44</v>
      </c>
      <c r="F24" s="2" t="s">
        <v>45</v>
      </c>
      <c r="G24" s="2" t="str">
        <f t="shared" si="0"/>
        <v/>
      </c>
      <c r="H24" s="2"/>
      <c r="I24" s="2"/>
      <c r="J24" s="2"/>
      <c r="K24" s="2"/>
    </row>
    <row r="25" spans="1:11" ht="42" customHeight="1" x14ac:dyDescent="0.25">
      <c r="A25" s="2">
        <v>21</v>
      </c>
      <c r="B25" s="2" t="s">
        <v>88</v>
      </c>
      <c r="C25" s="2" t="s">
        <v>89</v>
      </c>
      <c r="D25" s="2" t="s">
        <v>90</v>
      </c>
      <c r="E25" s="2" t="s">
        <v>52</v>
      </c>
      <c r="F25" s="2" t="s">
        <v>45</v>
      </c>
      <c r="G25" s="2" t="str">
        <f t="shared" si="0"/>
        <v/>
      </c>
      <c r="H25" s="2"/>
      <c r="I25" s="2"/>
      <c r="J25" s="2"/>
      <c r="K25" s="2"/>
    </row>
    <row r="26" spans="1:11" ht="42" customHeight="1" x14ac:dyDescent="0.25">
      <c r="A26" s="2">
        <v>22</v>
      </c>
      <c r="B26" s="2" t="s">
        <v>88</v>
      </c>
      <c r="C26" s="2" t="s">
        <v>91</v>
      </c>
      <c r="D26" s="2" t="s">
        <v>92</v>
      </c>
      <c r="E26" s="2" t="s">
        <v>44</v>
      </c>
      <c r="F26" s="2" t="s">
        <v>45</v>
      </c>
      <c r="G26" s="2" t="str">
        <f t="shared" si="0"/>
        <v/>
      </c>
      <c r="H26" s="2"/>
      <c r="I26" s="2"/>
      <c r="J26" s="2"/>
      <c r="K26" s="2"/>
    </row>
    <row r="27" spans="1:11" ht="42" customHeight="1" x14ac:dyDescent="0.25">
      <c r="A27" s="2">
        <v>23</v>
      </c>
      <c r="B27" s="2" t="s">
        <v>88</v>
      </c>
      <c r="C27" s="2" t="s">
        <v>93</v>
      </c>
      <c r="D27" s="2" t="s">
        <v>94</v>
      </c>
      <c r="E27" s="2" t="s">
        <v>52</v>
      </c>
      <c r="F27" s="2" t="s">
        <v>45</v>
      </c>
      <c r="G27" s="2" t="str">
        <f t="shared" si="0"/>
        <v/>
      </c>
      <c r="H27" s="2"/>
      <c r="I27" s="2"/>
      <c r="J27" s="2"/>
      <c r="K27" s="2"/>
    </row>
    <row r="28" spans="1:11" ht="42" customHeight="1" x14ac:dyDescent="0.25">
      <c r="A28" s="2">
        <v>24</v>
      </c>
      <c r="B28" s="2" t="s">
        <v>88</v>
      </c>
      <c r="C28" s="2" t="s">
        <v>95</v>
      </c>
      <c r="D28" s="2" t="s">
        <v>96</v>
      </c>
      <c r="E28" s="2" t="s">
        <v>44</v>
      </c>
      <c r="F28" s="2" t="s">
        <v>45</v>
      </c>
      <c r="G28" s="2" t="str">
        <f t="shared" si="0"/>
        <v/>
      </c>
      <c r="H28" s="2"/>
      <c r="I28" s="2"/>
      <c r="J28" s="2"/>
      <c r="K28" s="2"/>
    </row>
    <row r="29" spans="1:11" ht="42" customHeight="1" x14ac:dyDescent="0.25">
      <c r="A29" s="2">
        <v>25</v>
      </c>
      <c r="B29" s="2" t="s">
        <v>88</v>
      </c>
      <c r="C29" s="2" t="s">
        <v>97</v>
      </c>
      <c r="D29" s="2" t="s">
        <v>98</v>
      </c>
      <c r="E29" s="2" t="s">
        <v>44</v>
      </c>
      <c r="F29" s="2" t="s">
        <v>45</v>
      </c>
      <c r="G29" s="2" t="str">
        <f t="shared" si="0"/>
        <v/>
      </c>
      <c r="H29" s="2"/>
      <c r="I29" s="2"/>
      <c r="J29" s="2"/>
      <c r="K29" s="2"/>
    </row>
    <row r="30" spans="1:11" ht="42" customHeight="1" x14ac:dyDescent="0.25">
      <c r="A30" s="2">
        <v>26</v>
      </c>
      <c r="B30" s="2" t="s">
        <v>88</v>
      </c>
      <c r="C30" s="2" t="s">
        <v>99</v>
      </c>
      <c r="D30" s="2" t="s">
        <v>100</v>
      </c>
      <c r="E30" s="2" t="s">
        <v>44</v>
      </c>
      <c r="F30" s="2" t="s">
        <v>45</v>
      </c>
      <c r="G30" s="2" t="str">
        <f t="shared" si="0"/>
        <v/>
      </c>
      <c r="H30" s="2"/>
      <c r="I30" s="2"/>
      <c r="J30" s="2"/>
      <c r="K30" s="2"/>
    </row>
    <row r="31" spans="1:11" ht="42" customHeight="1" x14ac:dyDescent="0.25">
      <c r="A31" s="2">
        <v>27</v>
      </c>
      <c r="B31" s="2" t="s">
        <v>88</v>
      </c>
      <c r="C31" s="2" t="s">
        <v>101</v>
      </c>
      <c r="D31" s="2" t="s">
        <v>102</v>
      </c>
      <c r="E31" s="2" t="s">
        <v>52</v>
      </c>
      <c r="F31" s="2" t="s">
        <v>45</v>
      </c>
      <c r="G31" s="2" t="str">
        <f t="shared" si="0"/>
        <v/>
      </c>
      <c r="H31" s="2"/>
      <c r="I31" s="2"/>
      <c r="J31" s="2"/>
      <c r="K31" s="2"/>
    </row>
    <row r="32" spans="1:11" ht="42" customHeight="1" x14ac:dyDescent="0.25">
      <c r="A32" s="2">
        <v>28</v>
      </c>
      <c r="B32" s="2" t="s">
        <v>88</v>
      </c>
      <c r="C32" s="2" t="s">
        <v>103</v>
      </c>
      <c r="D32" s="2" t="s">
        <v>104</v>
      </c>
      <c r="E32" s="2" t="s">
        <v>52</v>
      </c>
      <c r="F32" s="2" t="s">
        <v>45</v>
      </c>
      <c r="G32" s="2" t="str">
        <f t="shared" si="0"/>
        <v/>
      </c>
      <c r="H32" s="2"/>
      <c r="I32" s="2"/>
      <c r="J32" s="2"/>
      <c r="K32" s="2"/>
    </row>
    <row r="33" spans="1:11" ht="42" customHeight="1" x14ac:dyDescent="0.25">
      <c r="A33" s="2">
        <v>29</v>
      </c>
      <c r="B33" s="2" t="s">
        <v>105</v>
      </c>
      <c r="C33" s="2" t="s">
        <v>106</v>
      </c>
      <c r="D33" s="2" t="s">
        <v>107</v>
      </c>
      <c r="E33" s="2" t="s">
        <v>44</v>
      </c>
      <c r="F33" s="2" t="s">
        <v>45</v>
      </c>
      <c r="G33" s="2" t="str">
        <f t="shared" si="0"/>
        <v/>
      </c>
      <c r="H33" s="2"/>
      <c r="I33" s="2"/>
      <c r="J33" s="2"/>
      <c r="K33" s="2"/>
    </row>
    <row r="34" spans="1:11" ht="42" customHeight="1" x14ac:dyDescent="0.25">
      <c r="A34" s="2">
        <v>30</v>
      </c>
      <c r="B34" s="2" t="s">
        <v>105</v>
      </c>
      <c r="C34" s="2" t="s">
        <v>108</v>
      </c>
      <c r="D34" s="2" t="s">
        <v>109</v>
      </c>
      <c r="E34" s="2" t="s">
        <v>44</v>
      </c>
      <c r="F34" s="2" t="s">
        <v>45</v>
      </c>
      <c r="G34" s="2" t="str">
        <f t="shared" si="0"/>
        <v/>
      </c>
      <c r="H34" s="2"/>
      <c r="I34" s="2"/>
      <c r="J34" s="2"/>
      <c r="K34" s="2"/>
    </row>
    <row r="35" spans="1:11" ht="42" customHeight="1" x14ac:dyDescent="0.25">
      <c r="A35" s="2">
        <v>31</v>
      </c>
      <c r="B35" s="2" t="s">
        <v>105</v>
      </c>
      <c r="C35" s="2" t="s">
        <v>110</v>
      </c>
      <c r="D35" s="2" t="s">
        <v>111</v>
      </c>
      <c r="E35" s="2" t="s">
        <v>44</v>
      </c>
      <c r="F35" s="2" t="s">
        <v>45</v>
      </c>
      <c r="G35" s="2" t="str">
        <f t="shared" si="0"/>
        <v/>
      </c>
      <c r="H35" s="2"/>
      <c r="I35" s="2"/>
      <c r="J35" s="2"/>
      <c r="K35" s="2"/>
    </row>
    <row r="36" spans="1:11" ht="42" customHeight="1" x14ac:dyDescent="0.25">
      <c r="A36" s="2">
        <v>32</v>
      </c>
      <c r="B36" s="2" t="s">
        <v>105</v>
      </c>
      <c r="C36" s="2" t="s">
        <v>112</v>
      </c>
      <c r="D36" s="2" t="s">
        <v>113</v>
      </c>
      <c r="E36" s="2" t="s">
        <v>44</v>
      </c>
      <c r="F36" s="2" t="s">
        <v>45</v>
      </c>
      <c r="G36" s="2" t="str">
        <f t="shared" si="0"/>
        <v/>
      </c>
      <c r="H36" s="2"/>
      <c r="I36" s="2"/>
      <c r="J36" s="2"/>
      <c r="K36" s="2"/>
    </row>
    <row r="37" spans="1:11" ht="42" customHeight="1" x14ac:dyDescent="0.25">
      <c r="A37" s="2">
        <v>33</v>
      </c>
      <c r="B37" s="2" t="s">
        <v>114</v>
      </c>
      <c r="C37" s="2" t="s">
        <v>115</v>
      </c>
      <c r="D37" s="2" t="s">
        <v>116</v>
      </c>
      <c r="E37" s="2" t="s">
        <v>52</v>
      </c>
      <c r="F37" s="2" t="s">
        <v>45</v>
      </c>
      <c r="G37" s="2" t="str">
        <f t="shared" ref="G37:G68" si="1">IF(F37="Compliant",2,IF(F37="Needs Revision",1,IF(F37="Major Revision",0,IF(F37="Non-Compliant",0,""))))</f>
        <v/>
      </c>
      <c r="H37" s="2"/>
      <c r="I37" s="2"/>
      <c r="J37" s="2"/>
      <c r="K37" s="2"/>
    </row>
    <row r="38" spans="1:11" ht="42" customHeight="1" x14ac:dyDescent="0.25">
      <c r="A38" s="2">
        <v>34</v>
      </c>
      <c r="B38" s="2" t="s">
        <v>114</v>
      </c>
      <c r="C38" s="2" t="s">
        <v>117</v>
      </c>
      <c r="D38" s="2" t="s">
        <v>118</v>
      </c>
      <c r="E38" s="2" t="s">
        <v>52</v>
      </c>
      <c r="F38" s="2" t="s">
        <v>45</v>
      </c>
      <c r="G38" s="2" t="str">
        <f t="shared" si="1"/>
        <v/>
      </c>
      <c r="H38" s="2"/>
      <c r="I38" s="2"/>
      <c r="J38" s="2"/>
      <c r="K38" s="2"/>
    </row>
    <row r="39" spans="1:11" ht="42" customHeight="1" x14ac:dyDescent="0.25">
      <c r="A39" s="2">
        <v>35</v>
      </c>
      <c r="B39" s="2" t="s">
        <v>114</v>
      </c>
      <c r="C39" s="2" t="s">
        <v>119</v>
      </c>
      <c r="D39" s="2" t="s">
        <v>120</v>
      </c>
      <c r="E39" s="2" t="s">
        <v>121</v>
      </c>
      <c r="F39" s="2" t="s">
        <v>45</v>
      </c>
      <c r="G39" s="2" t="str">
        <f t="shared" si="1"/>
        <v/>
      </c>
      <c r="H39" s="2"/>
      <c r="I39" s="2"/>
      <c r="J39" s="2"/>
      <c r="K39" s="2"/>
    </row>
    <row r="40" spans="1:11" ht="42" customHeight="1" x14ac:dyDescent="0.25">
      <c r="A40" s="2">
        <v>36</v>
      </c>
      <c r="B40" s="2" t="s">
        <v>122</v>
      </c>
      <c r="C40" s="2" t="s">
        <v>123</v>
      </c>
      <c r="D40" s="2" t="s">
        <v>124</v>
      </c>
      <c r="E40" s="2" t="s">
        <v>44</v>
      </c>
      <c r="F40" s="2" t="s">
        <v>45</v>
      </c>
      <c r="G40" s="2" t="str">
        <f t="shared" si="1"/>
        <v/>
      </c>
      <c r="H40" s="2"/>
      <c r="I40" s="2"/>
      <c r="J40" s="2"/>
      <c r="K40" s="2"/>
    </row>
    <row r="41" spans="1:11" ht="42" customHeight="1" x14ac:dyDescent="0.25">
      <c r="A41" s="2">
        <v>37</v>
      </c>
      <c r="B41" s="2" t="s">
        <v>122</v>
      </c>
      <c r="C41" s="2" t="s">
        <v>125</v>
      </c>
      <c r="D41" s="2" t="s">
        <v>126</v>
      </c>
      <c r="E41" s="2" t="s">
        <v>44</v>
      </c>
      <c r="F41" s="2" t="s">
        <v>45</v>
      </c>
      <c r="G41" s="2" t="str">
        <f t="shared" si="1"/>
        <v/>
      </c>
      <c r="H41" s="2"/>
      <c r="I41" s="2"/>
      <c r="J41" s="2"/>
      <c r="K41" s="2"/>
    </row>
    <row r="42" spans="1:11" ht="42" customHeight="1" x14ac:dyDescent="0.25">
      <c r="A42" s="2">
        <v>38</v>
      </c>
      <c r="B42" s="2" t="s">
        <v>122</v>
      </c>
      <c r="C42" s="2" t="s">
        <v>127</v>
      </c>
      <c r="D42" s="2" t="s">
        <v>128</v>
      </c>
      <c r="E42" s="2" t="s">
        <v>44</v>
      </c>
      <c r="F42" s="2" t="s">
        <v>45</v>
      </c>
      <c r="G42" s="2" t="str">
        <f t="shared" si="1"/>
        <v/>
      </c>
      <c r="H42" s="2"/>
      <c r="I42" s="2"/>
      <c r="J42" s="2"/>
      <c r="K42" s="2"/>
    </row>
    <row r="43" spans="1:11" ht="42" customHeight="1" x14ac:dyDescent="0.25">
      <c r="A43" s="2">
        <v>39</v>
      </c>
      <c r="B43" s="2" t="s">
        <v>122</v>
      </c>
      <c r="C43" s="2" t="s">
        <v>129</v>
      </c>
      <c r="D43" s="2" t="s">
        <v>130</v>
      </c>
      <c r="E43" s="2" t="s">
        <v>52</v>
      </c>
      <c r="F43" s="2" t="s">
        <v>45</v>
      </c>
      <c r="G43" s="2" t="str">
        <f t="shared" si="1"/>
        <v/>
      </c>
      <c r="H43" s="2"/>
      <c r="I43" s="2"/>
      <c r="J43" s="2"/>
      <c r="K43" s="2"/>
    </row>
    <row r="44" spans="1:11" ht="42" customHeight="1" x14ac:dyDescent="0.25">
      <c r="A44" s="2">
        <v>40</v>
      </c>
      <c r="B44" s="2" t="s">
        <v>122</v>
      </c>
      <c r="C44" s="2" t="s">
        <v>131</v>
      </c>
      <c r="D44" s="2" t="s">
        <v>132</v>
      </c>
      <c r="E44" s="2" t="s">
        <v>52</v>
      </c>
      <c r="F44" s="2" t="s">
        <v>45</v>
      </c>
      <c r="G44" s="2" t="str">
        <f t="shared" si="1"/>
        <v/>
      </c>
      <c r="H44" s="2"/>
      <c r="I44" s="2"/>
      <c r="J44" s="2"/>
      <c r="K44" s="2"/>
    </row>
    <row r="45" spans="1:11" ht="42" customHeight="1" x14ac:dyDescent="0.25">
      <c r="A45" s="2">
        <v>41</v>
      </c>
      <c r="B45" s="2" t="s">
        <v>122</v>
      </c>
      <c r="C45" s="2" t="s">
        <v>133</v>
      </c>
      <c r="D45" s="2" t="s">
        <v>134</v>
      </c>
      <c r="E45" s="2" t="s">
        <v>44</v>
      </c>
      <c r="F45" s="2" t="s">
        <v>45</v>
      </c>
      <c r="G45" s="2" t="str">
        <f t="shared" si="1"/>
        <v/>
      </c>
      <c r="H45" s="2"/>
      <c r="I45" s="2"/>
      <c r="J45" s="2"/>
      <c r="K45" s="2"/>
    </row>
    <row r="46" spans="1:11" ht="42" customHeight="1" x14ac:dyDescent="0.25">
      <c r="A46" s="2">
        <v>42</v>
      </c>
      <c r="B46" s="2" t="s">
        <v>122</v>
      </c>
      <c r="C46" s="2" t="s">
        <v>135</v>
      </c>
      <c r="D46" s="2" t="s">
        <v>136</v>
      </c>
      <c r="E46" s="2" t="s">
        <v>44</v>
      </c>
      <c r="F46" s="2" t="s">
        <v>45</v>
      </c>
      <c r="G46" s="2" t="str">
        <f t="shared" si="1"/>
        <v/>
      </c>
      <c r="H46" s="2"/>
      <c r="I46" s="2"/>
      <c r="J46" s="2"/>
      <c r="K46" s="2"/>
    </row>
    <row r="47" spans="1:11" ht="42" customHeight="1" x14ac:dyDescent="0.25">
      <c r="A47" s="2">
        <v>43</v>
      </c>
      <c r="B47" s="2" t="s">
        <v>122</v>
      </c>
      <c r="C47" s="2" t="s">
        <v>137</v>
      </c>
      <c r="D47" s="2" t="s">
        <v>138</v>
      </c>
      <c r="E47" s="2" t="s">
        <v>44</v>
      </c>
      <c r="F47" s="2" t="s">
        <v>45</v>
      </c>
      <c r="G47" s="2" t="str">
        <f t="shared" si="1"/>
        <v/>
      </c>
      <c r="H47" s="2"/>
      <c r="I47" s="2"/>
      <c r="J47" s="2"/>
      <c r="K47" s="2"/>
    </row>
    <row r="48" spans="1:11" ht="42" customHeight="1" x14ac:dyDescent="0.25">
      <c r="A48" s="2">
        <v>44</v>
      </c>
      <c r="B48" s="2" t="s">
        <v>122</v>
      </c>
      <c r="C48" s="2" t="s">
        <v>139</v>
      </c>
      <c r="D48" s="2" t="s">
        <v>140</v>
      </c>
      <c r="E48" s="2" t="s">
        <v>52</v>
      </c>
      <c r="F48" s="2" t="s">
        <v>45</v>
      </c>
      <c r="G48" s="2" t="str">
        <f t="shared" si="1"/>
        <v/>
      </c>
      <c r="H48" s="2"/>
      <c r="I48" s="2"/>
      <c r="J48" s="2"/>
      <c r="K48" s="2"/>
    </row>
    <row r="49" spans="1:11" ht="42" customHeight="1" x14ac:dyDescent="0.25">
      <c r="A49" s="2">
        <v>45</v>
      </c>
      <c r="B49" s="2" t="s">
        <v>122</v>
      </c>
      <c r="C49" s="2" t="s">
        <v>141</v>
      </c>
      <c r="D49" s="2" t="s">
        <v>142</v>
      </c>
      <c r="E49" s="2" t="s">
        <v>52</v>
      </c>
      <c r="F49" s="2" t="s">
        <v>45</v>
      </c>
      <c r="G49" s="2" t="str">
        <f t="shared" si="1"/>
        <v/>
      </c>
      <c r="H49" s="2"/>
      <c r="I49" s="2"/>
      <c r="J49" s="2"/>
      <c r="K49" s="2"/>
    </row>
    <row r="50" spans="1:11" ht="42" customHeight="1" x14ac:dyDescent="0.25">
      <c r="A50" s="2">
        <v>46</v>
      </c>
      <c r="B50" s="2" t="s">
        <v>143</v>
      </c>
      <c r="C50" s="2" t="s">
        <v>144</v>
      </c>
      <c r="D50" s="2" t="s">
        <v>145</v>
      </c>
      <c r="E50" s="2" t="s">
        <v>44</v>
      </c>
      <c r="F50" s="2" t="s">
        <v>45</v>
      </c>
      <c r="G50" s="2" t="str">
        <f t="shared" si="1"/>
        <v/>
      </c>
      <c r="H50" s="2"/>
      <c r="I50" s="2"/>
      <c r="J50" s="2"/>
      <c r="K50" s="2"/>
    </row>
    <row r="51" spans="1:11" ht="42" customHeight="1" x14ac:dyDescent="0.25">
      <c r="A51" s="2">
        <v>47</v>
      </c>
      <c r="B51" s="2" t="s">
        <v>143</v>
      </c>
      <c r="C51" s="2" t="s">
        <v>146</v>
      </c>
      <c r="D51" s="2" t="s">
        <v>147</v>
      </c>
      <c r="E51" s="2" t="s">
        <v>44</v>
      </c>
      <c r="F51" s="2" t="s">
        <v>45</v>
      </c>
      <c r="G51" s="2" t="str">
        <f t="shared" si="1"/>
        <v/>
      </c>
      <c r="H51" s="2"/>
      <c r="I51" s="2"/>
      <c r="J51" s="2"/>
      <c r="K51" s="2"/>
    </row>
    <row r="52" spans="1:11" ht="42" customHeight="1" x14ac:dyDescent="0.25">
      <c r="A52" s="2">
        <v>48</v>
      </c>
      <c r="B52" s="2" t="s">
        <v>143</v>
      </c>
      <c r="C52" s="2" t="s">
        <v>148</v>
      </c>
      <c r="D52" s="2" t="s">
        <v>149</v>
      </c>
      <c r="E52" s="2" t="s">
        <v>44</v>
      </c>
      <c r="F52" s="2" t="s">
        <v>45</v>
      </c>
      <c r="G52" s="2" t="str">
        <f t="shared" si="1"/>
        <v/>
      </c>
      <c r="H52" s="2"/>
      <c r="I52" s="2"/>
      <c r="J52" s="2"/>
      <c r="K52" s="2"/>
    </row>
    <row r="53" spans="1:11" ht="42" customHeight="1" x14ac:dyDescent="0.25">
      <c r="A53" s="2">
        <v>49</v>
      </c>
      <c r="B53" s="2" t="s">
        <v>143</v>
      </c>
      <c r="C53" s="2" t="s">
        <v>150</v>
      </c>
      <c r="D53" s="2" t="s">
        <v>151</v>
      </c>
      <c r="E53" s="2" t="s">
        <v>44</v>
      </c>
      <c r="F53" s="2" t="s">
        <v>45</v>
      </c>
      <c r="G53" s="2" t="str">
        <f t="shared" si="1"/>
        <v/>
      </c>
      <c r="H53" s="2"/>
      <c r="I53" s="2"/>
      <c r="J53" s="2"/>
      <c r="K53" s="2"/>
    </row>
  </sheetData>
  <autoFilter ref="A4:K53"/>
  <mergeCells count="2">
    <mergeCell ref="A2:K2"/>
    <mergeCell ref="A1:K1"/>
  </mergeCells>
  <conditionalFormatting sqref="F5:F53">
    <cfRule type="expression" dxfId="4" priority="1">
      <formula>$F5="Compliant"</formula>
    </cfRule>
    <cfRule type="expression" dxfId="3" priority="2">
      <formula>$F5="Needs Revision"</formula>
    </cfRule>
    <cfRule type="expression" dxfId="2" priority="3">
      <formula>$F5="Major Revision"</formula>
    </cfRule>
    <cfRule type="expression" dxfId="1" priority="4">
      <formula>$F5="Non-Compliant"</formula>
    </cfRule>
    <cfRule type="expression" dxfId="0" priority="5">
      <formula>$F5="NA"</formula>
    </cfRule>
  </conditionalFormatting>
  <dataValidations count="2">
    <dataValidation type="list" sqref="F5:F53">
      <formula1>"Not Reviewed,Compliant,Needs Revision,Major Revision,Non-Compliant,NA"</formula1>
    </dataValidation>
    <dataValidation type="list" sqref="E5:E53">
      <formula1>"High,Medium,Low"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abSelected="1" workbookViewId="0">
      <selection activeCell="A18" sqref="A18:F18"/>
    </sheetView>
  </sheetViews>
  <sheetFormatPr defaultRowHeight="15" x14ac:dyDescent="0.25"/>
  <cols>
    <col min="1" max="1" width="34" customWidth="1"/>
    <col min="2" max="2" width="18" customWidth="1"/>
    <col min="3" max="3" width="4" customWidth="1"/>
    <col min="4" max="4" width="22" customWidth="1"/>
    <col min="5" max="5" width="55" customWidth="1"/>
    <col min="6" max="6" width="12" customWidth="1"/>
  </cols>
  <sheetData>
    <row r="1" spans="1:6" ht="21" x14ac:dyDescent="0.35">
      <c r="A1" s="16" t="s">
        <v>152</v>
      </c>
      <c r="B1" s="15"/>
      <c r="C1" s="15"/>
      <c r="D1" s="15"/>
      <c r="E1" s="15"/>
      <c r="F1" s="15"/>
    </row>
    <row r="3" spans="1:6" x14ac:dyDescent="0.25">
      <c r="A3" s="1" t="s">
        <v>153</v>
      </c>
      <c r="B3" s="7">
        <f>COUNTA('TLEP Review Checklist'!C5:C53)</f>
        <v>49</v>
      </c>
      <c r="D3" s="8" t="s">
        <v>35</v>
      </c>
      <c r="E3" s="8" t="s">
        <v>154</v>
      </c>
    </row>
    <row r="4" spans="1:6" x14ac:dyDescent="0.25">
      <c r="A4" s="1" t="s">
        <v>5</v>
      </c>
      <c r="B4" s="7">
        <f>COUNTIF('TLEP Review Checklist'!F5:F53,"Compliant")</f>
        <v>0</v>
      </c>
      <c r="D4" s="7" t="s">
        <v>5</v>
      </c>
      <c r="E4" s="7" t="s">
        <v>155</v>
      </c>
    </row>
    <row r="5" spans="1:6" x14ac:dyDescent="0.25">
      <c r="A5" s="1" t="s">
        <v>7</v>
      </c>
      <c r="B5" s="7">
        <f>COUNTIF('TLEP Review Checklist'!F5:F53,"Needs Revision")</f>
        <v>0</v>
      </c>
      <c r="D5" s="7" t="s">
        <v>7</v>
      </c>
      <c r="E5" s="7" t="s">
        <v>156</v>
      </c>
    </row>
    <row r="6" spans="1:6" x14ac:dyDescent="0.25">
      <c r="A6" s="1" t="s">
        <v>9</v>
      </c>
      <c r="B6" s="7">
        <f>COUNTIF('TLEP Review Checklist'!F5:F53,"Major Revision")</f>
        <v>0</v>
      </c>
      <c r="D6" s="7" t="s">
        <v>9</v>
      </c>
      <c r="E6" s="7" t="s">
        <v>157</v>
      </c>
    </row>
    <row r="7" spans="1:6" x14ac:dyDescent="0.25">
      <c r="A7" s="1" t="s">
        <v>11</v>
      </c>
      <c r="B7" s="7">
        <f>COUNTIF('TLEP Review Checklist'!F5:F53,"Non-Compliant")</f>
        <v>0</v>
      </c>
      <c r="D7" s="7" t="s">
        <v>11</v>
      </c>
      <c r="E7" s="7" t="s">
        <v>158</v>
      </c>
    </row>
    <row r="8" spans="1:6" x14ac:dyDescent="0.25">
      <c r="A8" s="1" t="s">
        <v>45</v>
      </c>
      <c r="B8" s="7">
        <f>COUNTIF('TLEP Review Checklist'!F5:F53,"Not Reviewed")</f>
        <v>49</v>
      </c>
      <c r="D8" s="7" t="s">
        <v>13</v>
      </c>
      <c r="E8" s="7" t="s">
        <v>159</v>
      </c>
    </row>
    <row r="9" spans="1:6" x14ac:dyDescent="0.25">
      <c r="A9" s="1" t="s">
        <v>13</v>
      </c>
      <c r="B9" s="7">
        <f>COUNTIF('TLEP Review Checklist'!F5:F53,"NA")</f>
        <v>0</v>
      </c>
    </row>
    <row r="10" spans="1:6" x14ac:dyDescent="0.25">
      <c r="A10" s="1" t="s">
        <v>160</v>
      </c>
      <c r="B10" s="7">
        <f>B3-B8</f>
        <v>0</v>
      </c>
    </row>
    <row r="11" spans="1:6" x14ac:dyDescent="0.25">
      <c r="A11" s="1" t="s">
        <v>161</v>
      </c>
      <c r="B11" s="7">
        <f>SUM('TLEP Review Checklist'!G5:G53)</f>
        <v>0</v>
      </c>
    </row>
    <row r="12" spans="1:6" x14ac:dyDescent="0.25">
      <c r="A12" s="1" t="s">
        <v>162</v>
      </c>
      <c r="B12" s="7">
        <f>B9*2</f>
        <v>0</v>
      </c>
    </row>
    <row r="13" spans="1:6" x14ac:dyDescent="0.25">
      <c r="A13" s="1" t="s">
        <v>163</v>
      </c>
      <c r="B13" s="9">
        <f>IF(B10=0,0,B11/B12)</f>
        <v>0</v>
      </c>
    </row>
    <row r="16" spans="1:6" x14ac:dyDescent="0.25">
      <c r="A16" s="17" t="s">
        <v>164</v>
      </c>
      <c r="B16" s="15"/>
      <c r="C16" s="15"/>
      <c r="D16" s="15"/>
      <c r="E16" s="15"/>
      <c r="F16" s="15"/>
    </row>
    <row r="17" spans="1:6" ht="27.95" customHeight="1" x14ac:dyDescent="0.25">
      <c r="A17" s="14" t="s">
        <v>165</v>
      </c>
      <c r="B17" s="15"/>
      <c r="C17" s="15"/>
      <c r="D17" s="15"/>
      <c r="E17" s="15"/>
      <c r="F17" s="15"/>
    </row>
    <row r="18" spans="1:6" ht="27.95" customHeight="1" x14ac:dyDescent="0.25">
      <c r="A18" s="14" t="s">
        <v>166</v>
      </c>
      <c r="B18" s="15"/>
      <c r="C18" s="15"/>
      <c r="D18" s="15"/>
      <c r="E18" s="15"/>
      <c r="F18" s="15"/>
    </row>
    <row r="19" spans="1:6" ht="27.95" customHeight="1" x14ac:dyDescent="0.25">
      <c r="A19" s="14" t="s">
        <v>167</v>
      </c>
      <c r="B19" s="15"/>
      <c r="C19" s="15"/>
      <c r="D19" s="15"/>
      <c r="E19" s="15"/>
      <c r="F19" s="15"/>
    </row>
    <row r="20" spans="1:6" ht="27.95" customHeight="1" x14ac:dyDescent="0.25">
      <c r="A20" s="14" t="s">
        <v>168</v>
      </c>
      <c r="B20" s="15"/>
      <c r="C20" s="15"/>
      <c r="D20" s="15"/>
      <c r="E20" s="15"/>
      <c r="F20" s="15"/>
    </row>
    <row r="21" spans="1:6" ht="27.95" customHeight="1" x14ac:dyDescent="0.25">
      <c r="A21" s="14" t="s">
        <v>169</v>
      </c>
      <c r="B21" s="15"/>
      <c r="C21" s="15"/>
      <c r="D21" s="15"/>
      <c r="E21" s="15"/>
      <c r="F21" s="15"/>
    </row>
    <row r="22" spans="1:6" ht="27.95" customHeight="1" x14ac:dyDescent="0.25">
      <c r="A22" s="14" t="s">
        <v>170</v>
      </c>
      <c r="B22" s="15"/>
      <c r="C22" s="15"/>
      <c r="D22" s="15"/>
      <c r="E22" s="15"/>
      <c r="F22" s="15"/>
    </row>
    <row r="23" spans="1:6" ht="27.95" customHeight="1" x14ac:dyDescent="0.25">
      <c r="A23" s="14" t="s">
        <v>171</v>
      </c>
      <c r="B23" s="15"/>
      <c r="C23" s="15"/>
      <c r="D23" s="15"/>
      <c r="E23" s="15"/>
      <c r="F23" s="15"/>
    </row>
    <row r="24" spans="1:6" ht="27.95" customHeight="1" x14ac:dyDescent="0.25">
      <c r="A24" s="14" t="s">
        <v>172</v>
      </c>
      <c r="B24" s="15"/>
      <c r="C24" s="15"/>
      <c r="D24" s="15"/>
      <c r="E24" s="15"/>
      <c r="F24" s="15"/>
    </row>
  </sheetData>
  <mergeCells count="10">
    <mergeCell ref="A24:F24"/>
    <mergeCell ref="A16:F16"/>
    <mergeCell ref="A19:F19"/>
    <mergeCell ref="A1:F1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42" customWidth="1"/>
    <col min="3" max="3" width="12" customWidth="1"/>
    <col min="4" max="4" width="14" customWidth="1"/>
    <col min="5" max="5" width="20" customWidth="1"/>
    <col min="6" max="6" width="45" customWidth="1"/>
    <col min="7" max="7" width="20" customWidth="1"/>
    <col min="8" max="8" width="40" customWidth="1"/>
  </cols>
  <sheetData>
    <row r="1" spans="1:8" ht="19.5" x14ac:dyDescent="0.3">
      <c r="A1" s="20" t="s">
        <v>173</v>
      </c>
      <c r="B1" s="15"/>
      <c r="C1" s="15"/>
      <c r="D1" s="15"/>
      <c r="E1" s="15"/>
      <c r="F1" s="15"/>
      <c r="G1" s="15"/>
      <c r="H1" s="15"/>
    </row>
    <row r="3" spans="1:8" x14ac:dyDescent="0.25">
      <c r="A3" s="10" t="s">
        <v>174</v>
      </c>
      <c r="B3" s="10" t="s">
        <v>175</v>
      </c>
      <c r="C3" s="10" t="s">
        <v>176</v>
      </c>
      <c r="D3" s="10" t="s">
        <v>177</v>
      </c>
      <c r="E3" s="10" t="s">
        <v>178</v>
      </c>
      <c r="F3" s="10" t="s">
        <v>179</v>
      </c>
      <c r="G3" s="10" t="s">
        <v>180</v>
      </c>
      <c r="H3" s="10" t="s">
        <v>181</v>
      </c>
    </row>
    <row r="4" spans="1:8" x14ac:dyDescent="0.25">
      <c r="A4" s="2" t="s">
        <v>182</v>
      </c>
      <c r="B4" s="2"/>
      <c r="C4" s="2"/>
      <c r="D4" s="2"/>
      <c r="E4" s="2"/>
      <c r="F4" s="2"/>
      <c r="G4" s="2"/>
      <c r="H4" s="2"/>
    </row>
    <row r="5" spans="1:8" x14ac:dyDescent="0.25">
      <c r="A5" s="2" t="s">
        <v>183</v>
      </c>
      <c r="B5" s="2"/>
      <c r="C5" s="2"/>
      <c r="D5" s="2"/>
      <c r="E5" s="2"/>
      <c r="F5" s="2"/>
      <c r="G5" s="2"/>
      <c r="H5" s="2"/>
    </row>
    <row r="6" spans="1:8" x14ac:dyDescent="0.25">
      <c r="A6" s="2" t="s">
        <v>184</v>
      </c>
      <c r="B6" s="2"/>
      <c r="C6" s="2"/>
      <c r="D6" s="2"/>
      <c r="E6" s="2"/>
      <c r="F6" s="2"/>
      <c r="G6" s="2"/>
      <c r="H6" s="2"/>
    </row>
    <row r="7" spans="1:8" x14ac:dyDescent="0.25">
      <c r="A7" s="2" t="s">
        <v>185</v>
      </c>
      <c r="B7" s="2"/>
      <c r="C7" s="2"/>
      <c r="D7" s="2"/>
      <c r="E7" s="2"/>
      <c r="F7" s="2"/>
      <c r="G7" s="2"/>
      <c r="H7" s="2"/>
    </row>
    <row r="8" spans="1:8" x14ac:dyDescent="0.25">
      <c r="A8" s="2" t="s">
        <v>186</v>
      </c>
      <c r="B8" s="2"/>
      <c r="C8" s="2"/>
      <c r="D8" s="2"/>
      <c r="E8" s="2"/>
      <c r="F8" s="2"/>
      <c r="G8" s="2"/>
      <c r="H8" s="2"/>
    </row>
    <row r="9" spans="1:8" x14ac:dyDescent="0.25">
      <c r="A9" s="2" t="s">
        <v>187</v>
      </c>
      <c r="B9" s="2"/>
      <c r="C9" s="2"/>
      <c r="D9" s="2"/>
      <c r="E9" s="2"/>
      <c r="F9" s="2"/>
      <c r="G9" s="2"/>
      <c r="H9" s="2"/>
    </row>
    <row r="10" spans="1:8" x14ac:dyDescent="0.25">
      <c r="A10" s="2" t="s">
        <v>188</v>
      </c>
      <c r="B10" s="2"/>
      <c r="C10" s="2"/>
      <c r="D10" s="2"/>
      <c r="E10" s="2"/>
      <c r="F10" s="2"/>
      <c r="G10" s="2"/>
      <c r="H10" s="2"/>
    </row>
    <row r="11" spans="1:8" x14ac:dyDescent="0.25">
      <c r="A11" s="2" t="s">
        <v>189</v>
      </c>
      <c r="B11" s="2"/>
      <c r="C11" s="2"/>
      <c r="D11" s="2"/>
      <c r="E11" s="2"/>
      <c r="F11" s="2"/>
      <c r="G11" s="2"/>
      <c r="H11" s="2"/>
    </row>
    <row r="12" spans="1:8" x14ac:dyDescent="0.25">
      <c r="A12" s="2" t="s">
        <v>190</v>
      </c>
      <c r="B12" s="2"/>
      <c r="C12" s="2"/>
      <c r="D12" s="2"/>
      <c r="E12" s="2"/>
      <c r="F12" s="2"/>
      <c r="G12" s="2"/>
      <c r="H12" s="2"/>
    </row>
    <row r="13" spans="1:8" x14ac:dyDescent="0.25">
      <c r="A13" s="2" t="s">
        <v>191</v>
      </c>
      <c r="B13" s="2"/>
      <c r="C13" s="2"/>
      <c r="D13" s="2"/>
      <c r="E13" s="2"/>
      <c r="F13" s="2"/>
      <c r="G13" s="2"/>
      <c r="H13" s="2"/>
    </row>
    <row r="14" spans="1:8" x14ac:dyDescent="0.25">
      <c r="A14" s="2" t="s">
        <v>192</v>
      </c>
      <c r="B14" s="2"/>
      <c r="C14" s="2"/>
      <c r="D14" s="2"/>
      <c r="E14" s="2"/>
      <c r="F14" s="2"/>
      <c r="G14" s="2"/>
      <c r="H14" s="2"/>
    </row>
    <row r="15" spans="1:8" x14ac:dyDescent="0.25">
      <c r="A15" s="2" t="s">
        <v>193</v>
      </c>
      <c r="B15" s="2"/>
      <c r="C15" s="2"/>
      <c r="D15" s="2"/>
      <c r="E15" s="2"/>
      <c r="F15" s="2"/>
      <c r="G15" s="2"/>
      <c r="H15" s="2"/>
    </row>
  </sheetData>
  <mergeCells count="1">
    <mergeCell ref="A1:H1"/>
  </mergeCells>
  <dataValidations count="2">
    <dataValidation type="list" allowBlank="1" sqref="E4:E15">
      <formula1>"3,2,1,-"</formula1>
    </dataValidation>
    <dataValidation type="list" allowBlank="1" sqref="G4:G15">
      <formula1>"Compliant,Needs Revision,Major Revision,Non-Compliant,NA"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34" customWidth="1"/>
    <col min="2" max="2" width="24" customWidth="1"/>
    <col min="3" max="3" width="22" customWidth="1"/>
    <col min="4" max="4" width="14" customWidth="1"/>
    <col min="5" max="5" width="20" customWidth="1"/>
    <col min="6" max="6" width="40" customWidth="1"/>
    <col min="7" max="7" width="18" customWidth="1"/>
    <col min="8" max="8" width="35" customWidth="1"/>
  </cols>
  <sheetData>
    <row r="1" spans="1:8" ht="19.5" x14ac:dyDescent="0.3">
      <c r="A1" s="20" t="s">
        <v>194</v>
      </c>
      <c r="B1" s="15"/>
      <c r="C1" s="15"/>
      <c r="D1" s="15"/>
      <c r="E1" s="15"/>
      <c r="F1" s="15"/>
      <c r="G1" s="15"/>
      <c r="H1" s="15"/>
    </row>
    <row r="3" spans="1:8" ht="30" x14ac:dyDescent="0.25">
      <c r="A3" s="10" t="s">
        <v>32</v>
      </c>
      <c r="B3" s="10" t="s">
        <v>195</v>
      </c>
      <c r="C3" s="10" t="s">
        <v>196</v>
      </c>
      <c r="D3" s="10" t="s">
        <v>197</v>
      </c>
      <c r="E3" s="10" t="s">
        <v>180</v>
      </c>
      <c r="F3" s="10" t="s">
        <v>181</v>
      </c>
      <c r="G3" s="10" t="s">
        <v>198</v>
      </c>
      <c r="H3" s="10" t="s">
        <v>199</v>
      </c>
    </row>
    <row r="4" spans="1:8" x14ac:dyDescent="0.25">
      <c r="A4" s="2" t="s">
        <v>53</v>
      </c>
      <c r="B4" s="2"/>
      <c r="C4" s="2"/>
      <c r="D4" s="2" t="str">
        <f t="shared" ref="D4:D15" si="0">IF(OR(B4="",C4=""),"",C4-B4)</f>
        <v/>
      </c>
      <c r="E4" s="2"/>
      <c r="F4" s="2"/>
      <c r="G4" s="2"/>
      <c r="H4" s="2"/>
    </row>
    <row r="5" spans="1:8" x14ac:dyDescent="0.25">
      <c r="A5" s="2" t="s">
        <v>200</v>
      </c>
      <c r="B5" s="2"/>
      <c r="C5" s="2"/>
      <c r="D5" s="2" t="str">
        <f t="shared" si="0"/>
        <v/>
      </c>
      <c r="E5" s="2"/>
      <c r="F5" s="2"/>
      <c r="G5" s="2"/>
      <c r="H5" s="2"/>
    </row>
    <row r="6" spans="1:8" x14ac:dyDescent="0.25">
      <c r="A6" s="2" t="s">
        <v>201</v>
      </c>
      <c r="B6" s="2"/>
      <c r="C6" s="2"/>
      <c r="D6" s="2" t="str">
        <f t="shared" si="0"/>
        <v/>
      </c>
      <c r="E6" s="2"/>
      <c r="F6" s="2"/>
      <c r="G6" s="2"/>
      <c r="H6" s="2"/>
    </row>
    <row r="7" spans="1:8" x14ac:dyDescent="0.25">
      <c r="A7" s="2" t="s">
        <v>202</v>
      </c>
      <c r="B7" s="2"/>
      <c r="C7" s="2"/>
      <c r="D7" s="2" t="str">
        <f t="shared" si="0"/>
        <v/>
      </c>
      <c r="E7" s="2"/>
      <c r="F7" s="2"/>
      <c r="G7" s="2"/>
      <c r="H7" s="2"/>
    </row>
    <row r="8" spans="1:8" x14ac:dyDescent="0.25">
      <c r="A8" s="2" t="s">
        <v>203</v>
      </c>
      <c r="B8" s="2"/>
      <c r="C8" s="2"/>
      <c r="D8" s="2" t="str">
        <f t="shared" si="0"/>
        <v/>
      </c>
      <c r="E8" s="2"/>
      <c r="F8" s="2"/>
      <c r="G8" s="2"/>
      <c r="H8" s="2"/>
    </row>
    <row r="9" spans="1:8" x14ac:dyDescent="0.25">
      <c r="A9" s="2" t="s">
        <v>204</v>
      </c>
      <c r="B9" s="2"/>
      <c r="C9" s="2"/>
      <c r="D9" s="2" t="str">
        <f t="shared" si="0"/>
        <v/>
      </c>
      <c r="E9" s="2"/>
      <c r="F9" s="2"/>
      <c r="G9" s="2"/>
      <c r="H9" s="2"/>
    </row>
    <row r="10" spans="1:8" x14ac:dyDescent="0.25">
      <c r="A10" s="2" t="s">
        <v>205</v>
      </c>
      <c r="B10" s="2"/>
      <c r="C10" s="2"/>
      <c r="D10" s="2" t="str">
        <f t="shared" si="0"/>
        <v/>
      </c>
      <c r="E10" s="2"/>
      <c r="F10" s="2"/>
      <c r="G10" s="2"/>
      <c r="H10" s="2"/>
    </row>
    <row r="11" spans="1:8" x14ac:dyDescent="0.25">
      <c r="A11" s="2" t="s">
        <v>206</v>
      </c>
      <c r="B11" s="2"/>
      <c r="C11" s="2"/>
      <c r="D11" s="2" t="str">
        <f t="shared" si="0"/>
        <v/>
      </c>
      <c r="E11" s="2"/>
      <c r="F11" s="2"/>
      <c r="G11" s="2"/>
      <c r="H11" s="2"/>
    </row>
    <row r="12" spans="1:8" x14ac:dyDescent="0.25">
      <c r="A12" s="2" t="s">
        <v>207</v>
      </c>
      <c r="B12" s="2"/>
      <c r="C12" s="2"/>
      <c r="D12" s="2" t="str">
        <f t="shared" si="0"/>
        <v/>
      </c>
      <c r="E12" s="2"/>
      <c r="F12" s="2"/>
      <c r="G12" s="2"/>
      <c r="H12" s="2"/>
    </row>
    <row r="13" spans="1:8" x14ac:dyDescent="0.25">
      <c r="A13" s="2" t="s">
        <v>208</v>
      </c>
      <c r="B13" s="2"/>
      <c r="C13" s="2"/>
      <c r="D13" s="2" t="str">
        <f t="shared" si="0"/>
        <v/>
      </c>
      <c r="E13" s="2"/>
      <c r="F13" s="2"/>
      <c r="G13" s="2"/>
      <c r="H13" s="2"/>
    </row>
    <row r="14" spans="1:8" x14ac:dyDescent="0.25">
      <c r="A14" s="2" t="s">
        <v>209</v>
      </c>
      <c r="B14" s="2"/>
      <c r="C14" s="2"/>
      <c r="D14" s="2" t="str">
        <f t="shared" si="0"/>
        <v/>
      </c>
      <c r="E14" s="2"/>
      <c r="F14" s="2"/>
      <c r="G14" s="2"/>
      <c r="H14" s="2"/>
    </row>
    <row r="15" spans="1:8" x14ac:dyDescent="0.25">
      <c r="A15" s="2" t="s">
        <v>210</v>
      </c>
      <c r="B15" s="2"/>
      <c r="C15" s="2"/>
      <c r="D15" s="2" t="str">
        <f t="shared" si="0"/>
        <v/>
      </c>
      <c r="E15" s="2"/>
      <c r="F15" s="2"/>
      <c r="G15" s="2"/>
      <c r="H15" s="2"/>
    </row>
  </sheetData>
  <mergeCells count="1">
    <mergeCell ref="A1:H1"/>
  </mergeCells>
  <dataValidations count="1">
    <dataValidation type="list" allowBlank="1" sqref="E4:E15">
      <formula1>"Compliant,Needs Revision,Major Revision,Non-Compliant,NA"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TLEP Review Checklist</vt:lpstr>
      <vt:lpstr>Dashboard</vt:lpstr>
      <vt:lpstr>CO-PO Review</vt:lpstr>
      <vt:lpstr>Hours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2026-10-08T06:00:44Z</dcterms:created>
  <dcterms:modified xsi:type="dcterms:W3CDTF">2026-10-08T06:22:02Z</dcterms:modified>
</cp:coreProperties>
</file>